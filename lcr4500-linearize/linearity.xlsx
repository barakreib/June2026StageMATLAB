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re\lcr4500-linearize\"/>
    </mc:Choice>
  </mc:AlternateContent>
  <xr:revisionPtr revIDLastSave="0" documentId="13_ncr:1_{85A9C481-3CB6-4AE3-99A3-E012334AC83C}" xr6:coauthVersionLast="47" xr6:coauthVersionMax="47" xr10:uidLastSave="{00000000-0000-0000-0000-000000000000}"/>
  <bookViews>
    <workbookView xWindow="2040" yWindow="3130" windowWidth="28800" windowHeight="15370" xr2:uid="{754A7935-B896-A64A-A257-86164B205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7" i="1" l="1"/>
  <c r="E36" i="1"/>
  <c r="E34" i="1"/>
  <c r="E33" i="1"/>
  <c r="E32" i="1"/>
  <c r="E31" i="1"/>
  <c r="F38" i="1"/>
  <c r="F37" i="1"/>
  <c r="F36" i="1"/>
  <c r="F35" i="1"/>
  <c r="F34" i="1"/>
  <c r="F33" i="1"/>
  <c r="F32" i="1"/>
  <c r="F31" i="1"/>
  <c r="AB37" i="1"/>
  <c r="AB36" i="1"/>
  <c r="AB35" i="1"/>
  <c r="AB34" i="1"/>
  <c r="AB33" i="1"/>
  <c r="AB32" i="1"/>
  <c r="AB31" i="1"/>
  <c r="X37" i="1"/>
  <c r="J37" i="1" s="1"/>
  <c r="J38" i="1"/>
  <c r="X32" i="1"/>
  <c r="J32" i="1" s="1"/>
  <c r="X31" i="1"/>
  <c r="J31" i="1" s="1"/>
  <c r="X33" i="1"/>
  <c r="J33" i="1" s="1"/>
  <c r="X34" i="1"/>
  <c r="J34" i="1" s="1"/>
  <c r="X35" i="1"/>
  <c r="J35" i="1" s="1"/>
  <c r="X36" i="1"/>
  <c r="J36" i="1" s="1"/>
  <c r="X38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26" i="1"/>
  <c r="Q12" i="1"/>
  <c r="Q14" i="1"/>
  <c r="Q16" i="1"/>
  <c r="Q18" i="1"/>
  <c r="Q20" i="1"/>
  <c r="Q22" i="1"/>
  <c r="Q24" i="1"/>
  <c r="Q26" i="1"/>
</calcChain>
</file>

<file path=xl/sharedStrings.xml><?xml version="1.0" encoding="utf-8"?>
<sst xmlns="http://schemas.openxmlformats.org/spreadsheetml/2006/main" count="3" uniqueCount="3">
  <si>
    <t>BEFORE</t>
  </si>
  <si>
    <t>AFTER</t>
  </si>
  <si>
    <t>NOW LINEAR HOPEFULLY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</si>
</sst>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Sheet1!$G$31:$G$37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</c:numCache>
            </c:numRef>
          </c:xVal>
          <c:yVal>
            <c:numRef>
              <c:f>Sheet1!$AB$31:$AB$37</c:f>
              <c:numCache>
                <c:formatCode>General</c:formatCode>
                <c:ptCount val="7"/>
                <c:pt idx="0">
                  <c:v>1610.5</c:v>
                </c:pt>
                <c:pt idx="1">
                  <c:v>4050</c:v>
                </c:pt>
                <c:pt idx="2">
                  <c:v>7550</c:v>
                </c:pt>
                <c:pt idx="3">
                  <c:v>10080.5</c:v>
                </c:pt>
                <c:pt idx="4">
                  <c:v>14329.5</c:v>
                </c:pt>
                <c:pt idx="5">
                  <c:v>18624</c:v>
                </c:pt>
                <c:pt idx="6">
                  <c:v>23104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75-44DA-AC1D-E155FB9B763D}"/>
            </c:ext>
          </c:extLst>
        </c:ser>
        <c:ser>
          <c:idx val="3"/>
          <c:order val="1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Sheet1!$G$31:$G$37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</c:numCache>
            </c:numRef>
          </c:xVal>
          <c:yVal>
            <c:numRef>
              <c:f>Sheet1!$E$31:$E$37</c:f>
              <c:numCache>
                <c:formatCode>General</c:formatCode>
                <c:ptCount val="7"/>
                <c:pt idx="0">
                  <c:v>355.26</c:v>
                </c:pt>
                <c:pt idx="1">
                  <c:v>1013.7333333333333</c:v>
                </c:pt>
                <c:pt idx="2">
                  <c:v>2486.041666666667</c:v>
                </c:pt>
                <c:pt idx="3">
                  <c:v>5609.2083333333339</c:v>
                </c:pt>
                <c:pt idx="4">
                  <c:v>9500</c:v>
                </c:pt>
                <c:pt idx="5">
                  <c:v>14269.196969696968</c:v>
                </c:pt>
                <c:pt idx="6">
                  <c:v>20713.886363636364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75-44DA-AC1D-E155FB9B7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256320"/>
        <c:axId val="526133760"/>
      </c:scatterChart>
      <c:valAx>
        <c:axId val="57725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33760"/>
        <c:crosses val="autoZero"/>
        <c:crossBetween val="midCat"/>
      </c:valAx>
      <c:valAx>
        <c:axId val="52613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256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Sheet1!$Z$31:$Z$37</c:f>
              <c:numCache>
                <c:formatCode>General</c:formatCode>
                <c:ptCount val="7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  <c:pt idx="4">
                  <c:v>160</c:v>
                </c:pt>
                <c:pt idx="5">
                  <c:v>192</c:v>
                </c:pt>
                <c:pt idx="6">
                  <c:v>224</c:v>
                </c:pt>
              </c:numCache>
            </c:numRef>
          </c:xVal>
          <c:yVal>
            <c:numRef>
              <c:f>Sheet1!$AA$31:$AA$37</c:f>
              <c:numCache>
                <c:formatCode>General</c:formatCode>
                <c:ptCount val="7"/>
                <c:pt idx="0">
                  <c:v>1103</c:v>
                </c:pt>
                <c:pt idx="1">
                  <c:v>1800</c:v>
                </c:pt>
                <c:pt idx="2">
                  <c:v>2800</c:v>
                </c:pt>
                <c:pt idx="3">
                  <c:v>3523</c:v>
                </c:pt>
                <c:pt idx="4">
                  <c:v>4737</c:v>
                </c:pt>
                <c:pt idx="5">
                  <c:v>5964</c:v>
                </c:pt>
                <c:pt idx="6">
                  <c:v>7244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A8-BB46-9316-767C94305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262016"/>
        <c:axId val="551011200"/>
      </c:scatterChart>
      <c:valAx>
        <c:axId val="52726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011200"/>
        <c:crosses val="autoZero"/>
        <c:crossBetween val="midCat"/>
      </c:valAx>
      <c:valAx>
        <c:axId val="5510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26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14</xdr:row>
      <xdr:rowOff>152400</xdr:rowOff>
    </xdr:from>
    <xdr:to>
      <xdr:col>6</xdr:col>
      <xdr:colOff>31750</xdr:colOff>
      <xdr:row>28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1970F-DD5E-A960-F80B-B2793ABD6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393700</xdr:colOff>
      <xdr:row>15</xdr:row>
      <xdr:rowOff>88900</xdr:rowOff>
    </xdr:from>
    <xdr:to>
      <xdr:col>22</xdr:col>
      <xdr:colOff>88900</xdr:colOff>
      <xdr:row>28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5E3F63-8CE9-59AF-FD70-3BD550EFC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51FD-E5A8-5B4B-8547-3ABCD4B5CF9A}">
  <dimension ref="E7:AB38"/>
  <sheetViews>
    <sheetView tabSelected="1" topLeftCell="A10" workbookViewId="0">
      <selection activeCell="AB31" sqref="AB31"/>
    </sheetView>
  </sheetViews>
  <sheetFormatPr defaultColWidth="10.6640625" defaultRowHeight="16" x14ac:dyDescent="0.4"/>
  <sheetData>
    <row r="7" spans="5:17" x14ac:dyDescent="0.4">
      <c r="E7">
        <v>199</v>
      </c>
      <c r="G7" t="s">
        <v>0</v>
      </c>
      <c r="M7" t="s">
        <v>1</v>
      </c>
    </row>
    <row r="8" spans="5:17" x14ac:dyDescent="0.4">
      <c r="E8">
        <v>253</v>
      </c>
    </row>
    <row r="9" spans="5:17" x14ac:dyDescent="0.4">
      <c r="E9">
        <v>280</v>
      </c>
    </row>
    <row r="10" spans="5:17" x14ac:dyDescent="0.4">
      <c r="E10">
        <v>316</v>
      </c>
      <c r="G10">
        <v>0</v>
      </c>
      <c r="H10">
        <v>85.5</v>
      </c>
      <c r="L10">
        <f t="shared" ref="L10:L25" si="0">AVERAGE(H10:K10)</f>
        <v>85.5</v>
      </c>
    </row>
    <row r="11" spans="5:17" x14ac:dyDescent="0.4">
      <c r="G11">
        <v>16</v>
      </c>
      <c r="H11">
        <v>184.2</v>
      </c>
      <c r="L11">
        <f t="shared" si="0"/>
        <v>184.2</v>
      </c>
    </row>
    <row r="12" spans="5:17" x14ac:dyDescent="0.4">
      <c r="G12">
        <v>32</v>
      </c>
      <c r="H12">
        <v>317.2</v>
      </c>
      <c r="L12">
        <f t="shared" si="0"/>
        <v>317.2</v>
      </c>
      <c r="M12">
        <v>560</v>
      </c>
      <c r="Q12">
        <f>AVERAGE(M12:O12)</f>
        <v>560</v>
      </c>
    </row>
    <row r="13" spans="5:17" x14ac:dyDescent="0.4">
      <c r="G13">
        <v>48</v>
      </c>
      <c r="H13">
        <v>537.29999999999995</v>
      </c>
      <c r="L13">
        <f t="shared" si="0"/>
        <v>537.29999999999995</v>
      </c>
      <c r="M13">
        <v>720</v>
      </c>
    </row>
    <row r="14" spans="5:17" x14ac:dyDescent="0.4">
      <c r="G14">
        <v>64</v>
      </c>
      <c r="H14">
        <v>853.6</v>
      </c>
      <c r="L14">
        <f t="shared" si="0"/>
        <v>853.6</v>
      </c>
      <c r="M14">
        <v>1100</v>
      </c>
      <c r="Q14">
        <f>AVERAGE(M14:O14)</f>
        <v>1100</v>
      </c>
    </row>
    <row r="15" spans="5:17" x14ac:dyDescent="0.4">
      <c r="G15">
        <v>80</v>
      </c>
      <c r="H15">
        <v>1377</v>
      </c>
      <c r="I15">
        <v>1879</v>
      </c>
      <c r="J15">
        <v>1634</v>
      </c>
      <c r="L15">
        <f t="shared" si="0"/>
        <v>1630</v>
      </c>
      <c r="M15">
        <v>1561</v>
      </c>
    </row>
    <row r="16" spans="5:17" x14ac:dyDescent="0.4">
      <c r="G16">
        <v>96</v>
      </c>
      <c r="H16">
        <v>1914</v>
      </c>
      <c r="I16">
        <v>2800</v>
      </c>
      <c r="L16">
        <f t="shared" si="0"/>
        <v>2357</v>
      </c>
      <c r="M16">
        <v>1500</v>
      </c>
      <c r="Q16">
        <f>AVERAGE(M16:O16)</f>
        <v>1500</v>
      </c>
    </row>
    <row r="17" spans="5:28" x14ac:dyDescent="0.4">
      <c r="G17">
        <v>112</v>
      </c>
      <c r="H17">
        <v>3106</v>
      </c>
      <c r="L17">
        <f t="shared" si="0"/>
        <v>3106</v>
      </c>
    </row>
    <row r="18" spans="5:28" x14ac:dyDescent="0.4">
      <c r="G18">
        <v>128</v>
      </c>
      <c r="H18">
        <v>5910</v>
      </c>
      <c r="L18">
        <f t="shared" si="0"/>
        <v>5910</v>
      </c>
      <c r="M18">
        <v>2860</v>
      </c>
      <c r="Q18">
        <f>AVERAGE(M18:O18)</f>
        <v>2860</v>
      </c>
    </row>
    <row r="19" spans="5:28" x14ac:dyDescent="0.4">
      <c r="G19">
        <v>144</v>
      </c>
      <c r="H19">
        <v>8513</v>
      </c>
      <c r="I19">
        <v>5884</v>
      </c>
      <c r="J19">
        <v>8828</v>
      </c>
      <c r="L19">
        <f t="shared" si="0"/>
        <v>7741.666666666667</v>
      </c>
    </row>
    <row r="20" spans="5:28" x14ac:dyDescent="0.4">
      <c r="G20">
        <v>160</v>
      </c>
      <c r="H20">
        <v>12017</v>
      </c>
      <c r="L20">
        <f t="shared" si="0"/>
        <v>12017</v>
      </c>
      <c r="M20">
        <v>6200</v>
      </c>
      <c r="Q20">
        <f>AVERAGE(M20:O20)</f>
        <v>6200</v>
      </c>
    </row>
    <row r="21" spans="5:28" x14ac:dyDescent="0.4">
      <c r="G21">
        <v>176</v>
      </c>
      <c r="H21">
        <v>8686</v>
      </c>
      <c r="L21">
        <f t="shared" si="0"/>
        <v>8686</v>
      </c>
    </row>
    <row r="22" spans="5:28" x14ac:dyDescent="0.4">
      <c r="G22">
        <v>192</v>
      </c>
      <c r="H22">
        <v>11514</v>
      </c>
      <c r="I22">
        <v>13271</v>
      </c>
      <c r="J22">
        <v>12558</v>
      </c>
      <c r="L22">
        <f t="shared" si="0"/>
        <v>12447.666666666666</v>
      </c>
      <c r="M22">
        <v>8200</v>
      </c>
      <c r="Q22">
        <f>AVERAGE(M22:O22)</f>
        <v>8200</v>
      </c>
    </row>
    <row r="23" spans="5:28" x14ac:dyDescent="0.4">
      <c r="G23">
        <v>208</v>
      </c>
      <c r="H23">
        <v>15327</v>
      </c>
      <c r="I23">
        <v>17308</v>
      </c>
      <c r="J23">
        <v>16443</v>
      </c>
      <c r="L23">
        <f t="shared" si="0"/>
        <v>16359.333333333334</v>
      </c>
    </row>
    <row r="24" spans="5:28" x14ac:dyDescent="0.4">
      <c r="G24">
        <v>224</v>
      </c>
      <c r="H24">
        <v>20823</v>
      </c>
      <c r="I24">
        <v>18890</v>
      </c>
      <c r="L24">
        <f t="shared" si="0"/>
        <v>19856.5</v>
      </c>
      <c r="M24">
        <v>11500</v>
      </c>
      <c r="Q24">
        <f>AVERAGE(M24:O24)</f>
        <v>11500</v>
      </c>
    </row>
    <row r="25" spans="5:28" x14ac:dyDescent="0.4">
      <c r="G25">
        <v>240</v>
      </c>
      <c r="H25">
        <v>19647</v>
      </c>
      <c r="I25">
        <v>19967</v>
      </c>
      <c r="J25">
        <v>18948</v>
      </c>
      <c r="K25" s="1"/>
      <c r="L25">
        <f t="shared" si="0"/>
        <v>19520.666666666668</v>
      </c>
    </row>
    <row r="26" spans="5:28" x14ac:dyDescent="0.4">
      <c r="G26">
        <v>256</v>
      </c>
      <c r="H26">
        <v>19247</v>
      </c>
      <c r="I26">
        <v>16111</v>
      </c>
      <c r="J26">
        <v>20121</v>
      </c>
      <c r="K26">
        <v>17332</v>
      </c>
      <c r="L26">
        <f>AVERAGE(H26:K26)</f>
        <v>18202.75</v>
      </c>
      <c r="M26">
        <v>20000</v>
      </c>
      <c r="N26">
        <v>17800</v>
      </c>
      <c r="O26">
        <v>19959</v>
      </c>
      <c r="Q26">
        <f>AVERAGE(M26:O26)</f>
        <v>19253</v>
      </c>
    </row>
    <row r="28" spans="5:28" x14ac:dyDescent="0.4">
      <c r="AA28" t="s">
        <v>2</v>
      </c>
    </row>
    <row r="29" spans="5:28" x14ac:dyDescent="0.4">
      <c r="AB29">
        <v>2250</v>
      </c>
    </row>
    <row r="30" spans="5:28" x14ac:dyDescent="0.4">
      <c r="AB30">
        <v>3.5</v>
      </c>
    </row>
    <row r="31" spans="5:28" x14ac:dyDescent="0.4">
      <c r="E31">
        <f>AVERAGE(H31,J31)</f>
        <v>355.26</v>
      </c>
      <c r="F31">
        <f>AVERAGE(H31:J31)</f>
        <v>423.50666666666666</v>
      </c>
      <c r="G31">
        <v>32</v>
      </c>
      <c r="H31">
        <v>317.2</v>
      </c>
      <c r="I31">
        <v>560</v>
      </c>
      <c r="J31">
        <f>X31</f>
        <v>393.32000000000005</v>
      </c>
      <c r="K31">
        <v>367</v>
      </c>
      <c r="L31">
        <v>376</v>
      </c>
      <c r="M31">
        <v>407</v>
      </c>
      <c r="N31">
        <v>401</v>
      </c>
      <c r="O31">
        <v>403</v>
      </c>
      <c r="P31">
        <v>388.3</v>
      </c>
      <c r="Q31">
        <v>405.5</v>
      </c>
      <c r="R31">
        <v>399.9</v>
      </c>
      <c r="S31">
        <v>412.2</v>
      </c>
      <c r="T31">
        <v>373.3</v>
      </c>
      <c r="X31">
        <f t="shared" ref="X31:X38" si="1">AVERAGE(K31:V31)</f>
        <v>393.32000000000005</v>
      </c>
      <c r="Z31">
        <v>32</v>
      </c>
      <c r="AA31">
        <v>1103</v>
      </c>
      <c r="AB31">
        <f>AA31*$AB$30-$AB$29</f>
        <v>1610.5</v>
      </c>
    </row>
    <row r="32" spans="5:28" x14ac:dyDescent="0.4">
      <c r="E32">
        <f t="shared" ref="E32:E37" si="2">AVERAGE(H32,J32)</f>
        <v>1013.7333333333333</v>
      </c>
      <c r="F32">
        <f t="shared" ref="F32:F38" si="3">AVERAGE(H32:J32)</f>
        <v>1042.4888888888888</v>
      </c>
      <c r="G32" s="1">
        <v>64</v>
      </c>
      <c r="H32">
        <v>853.6</v>
      </c>
      <c r="I32">
        <v>1100</v>
      </c>
      <c r="J32">
        <f t="shared" ref="J32:J38" si="4">X32</f>
        <v>1173.8666666666666</v>
      </c>
      <c r="K32">
        <v>1405</v>
      </c>
      <c r="L32">
        <v>1111</v>
      </c>
      <c r="M32">
        <v>1419</v>
      </c>
      <c r="N32">
        <v>1174</v>
      </c>
      <c r="O32">
        <v>965.4</v>
      </c>
      <c r="P32">
        <v>1309</v>
      </c>
      <c r="Q32">
        <v>1065</v>
      </c>
      <c r="R32">
        <v>1015</v>
      </c>
      <c r="S32">
        <v>1051</v>
      </c>
      <c r="T32">
        <v>1080</v>
      </c>
      <c r="U32">
        <v>1312</v>
      </c>
      <c r="V32">
        <v>1180</v>
      </c>
      <c r="X32">
        <f t="shared" si="1"/>
        <v>1173.8666666666666</v>
      </c>
      <c r="Z32" s="1">
        <v>64</v>
      </c>
      <c r="AA32">
        <v>1800</v>
      </c>
      <c r="AB32">
        <f t="shared" ref="AB32:AB37" si="5">AA32*$AB$30-$AB$29</f>
        <v>4050</v>
      </c>
    </row>
    <row r="33" spans="5:28" x14ac:dyDescent="0.4">
      <c r="E33">
        <f t="shared" si="2"/>
        <v>2486.041666666667</v>
      </c>
      <c r="F33">
        <f t="shared" si="3"/>
        <v>2157.3611111111113</v>
      </c>
      <c r="G33">
        <v>96</v>
      </c>
      <c r="H33">
        <v>2357</v>
      </c>
      <c r="I33">
        <v>1500</v>
      </c>
      <c r="J33">
        <f t="shared" si="4"/>
        <v>2615.0833333333335</v>
      </c>
      <c r="K33">
        <v>3437</v>
      </c>
      <c r="L33">
        <v>2887</v>
      </c>
      <c r="M33">
        <v>2683</v>
      </c>
      <c r="N33">
        <v>1574</v>
      </c>
      <c r="O33">
        <v>1466</v>
      </c>
      <c r="P33">
        <v>2935</v>
      </c>
      <c r="Q33">
        <v>3013</v>
      </c>
      <c r="R33">
        <v>2084</v>
      </c>
      <c r="S33">
        <v>3157</v>
      </c>
      <c r="T33">
        <v>2704</v>
      </c>
      <c r="U33">
        <v>3197</v>
      </c>
      <c r="V33">
        <v>2244</v>
      </c>
      <c r="X33">
        <f t="shared" si="1"/>
        <v>2615.0833333333335</v>
      </c>
      <c r="Z33">
        <v>96</v>
      </c>
      <c r="AA33">
        <v>2800</v>
      </c>
      <c r="AB33">
        <f t="shared" si="5"/>
        <v>7550</v>
      </c>
    </row>
    <row r="34" spans="5:28" x14ac:dyDescent="0.4">
      <c r="E34">
        <f t="shared" si="2"/>
        <v>5609.2083333333339</v>
      </c>
      <c r="F34">
        <f t="shared" si="3"/>
        <v>4692.8055555555557</v>
      </c>
      <c r="G34">
        <v>128</v>
      </c>
      <c r="H34">
        <v>5910</v>
      </c>
      <c r="I34">
        <v>2860</v>
      </c>
      <c r="J34">
        <f t="shared" si="4"/>
        <v>5308.416666666667</v>
      </c>
      <c r="K34">
        <v>4550</v>
      </c>
      <c r="L34">
        <v>5901</v>
      </c>
      <c r="M34">
        <v>5744</v>
      </c>
      <c r="N34">
        <v>5100</v>
      </c>
      <c r="O34">
        <v>6121</v>
      </c>
      <c r="P34">
        <v>5918</v>
      </c>
      <c r="Q34">
        <v>4857</v>
      </c>
      <c r="R34">
        <v>5009</v>
      </c>
      <c r="S34">
        <v>4089</v>
      </c>
      <c r="T34">
        <v>5547</v>
      </c>
      <c r="U34">
        <v>6098</v>
      </c>
      <c r="V34">
        <v>4767</v>
      </c>
      <c r="X34">
        <f t="shared" si="1"/>
        <v>5308.416666666667</v>
      </c>
      <c r="Z34">
        <v>128</v>
      </c>
      <c r="AA34">
        <v>3523</v>
      </c>
      <c r="AB34">
        <f t="shared" si="5"/>
        <v>10080.5</v>
      </c>
    </row>
    <row r="35" spans="5:28" x14ac:dyDescent="0.4">
      <c r="E35">
        <v>9500</v>
      </c>
      <c r="F35">
        <f t="shared" si="3"/>
        <v>9543.3333333333339</v>
      </c>
      <c r="G35">
        <v>160</v>
      </c>
      <c r="H35">
        <v>12017</v>
      </c>
      <c r="I35">
        <v>6200</v>
      </c>
      <c r="J35">
        <f t="shared" si="4"/>
        <v>10413</v>
      </c>
      <c r="K35">
        <v>8944</v>
      </c>
      <c r="L35">
        <v>10100</v>
      </c>
      <c r="M35">
        <v>8630</v>
      </c>
      <c r="N35">
        <v>10800</v>
      </c>
      <c r="O35">
        <v>11718</v>
      </c>
      <c r="P35">
        <v>9307</v>
      </c>
      <c r="Q35">
        <v>10677</v>
      </c>
      <c r="R35">
        <v>11677</v>
      </c>
      <c r="S35">
        <v>11617</v>
      </c>
      <c r="T35">
        <v>9136</v>
      </c>
      <c r="U35">
        <v>11022</v>
      </c>
      <c r="V35">
        <v>11328</v>
      </c>
      <c r="X35">
        <f t="shared" si="1"/>
        <v>10413</v>
      </c>
      <c r="Z35">
        <v>160</v>
      </c>
      <c r="AA35">
        <v>4737</v>
      </c>
      <c r="AB35">
        <f t="shared" si="5"/>
        <v>14329.5</v>
      </c>
    </row>
    <row r="36" spans="5:28" x14ac:dyDescent="0.4">
      <c r="E36">
        <f t="shared" si="2"/>
        <v>14269.196969696968</v>
      </c>
      <c r="F36">
        <f t="shared" si="3"/>
        <v>12246.131313131313</v>
      </c>
      <c r="G36">
        <v>192</v>
      </c>
      <c r="H36">
        <v>12447.666666666666</v>
      </c>
      <c r="I36">
        <v>8200</v>
      </c>
      <c r="J36">
        <f t="shared" si="4"/>
        <v>16090.727272727272</v>
      </c>
      <c r="K36">
        <v>18882</v>
      </c>
      <c r="L36">
        <v>14933</v>
      </c>
      <c r="M36">
        <v>13433</v>
      </c>
      <c r="N36">
        <v>12799</v>
      </c>
      <c r="O36">
        <v>20287</v>
      </c>
      <c r="P36">
        <v>15458</v>
      </c>
      <c r="Q36">
        <v>16395</v>
      </c>
      <c r="R36">
        <v>15290</v>
      </c>
      <c r="S36">
        <v>17200</v>
      </c>
      <c r="T36">
        <v>18366</v>
      </c>
      <c r="U36">
        <v>13955</v>
      </c>
      <c r="X36">
        <f t="shared" si="1"/>
        <v>16090.727272727272</v>
      </c>
      <c r="Z36">
        <v>192</v>
      </c>
      <c r="AA36">
        <v>5964</v>
      </c>
      <c r="AB36">
        <f t="shared" si="5"/>
        <v>18624</v>
      </c>
    </row>
    <row r="37" spans="5:28" x14ac:dyDescent="0.4">
      <c r="E37">
        <f t="shared" si="2"/>
        <v>20713.886363636364</v>
      </c>
      <c r="F37">
        <f t="shared" si="3"/>
        <v>17642.590909090908</v>
      </c>
      <c r="G37">
        <v>224</v>
      </c>
      <c r="H37">
        <v>19856.5</v>
      </c>
      <c r="I37">
        <v>11500</v>
      </c>
      <c r="J37">
        <f t="shared" si="4"/>
        <v>21571.272727272728</v>
      </c>
      <c r="K37">
        <v>17654</v>
      </c>
      <c r="L37">
        <v>19764</v>
      </c>
      <c r="M37">
        <v>19221</v>
      </c>
      <c r="N37">
        <v>23979</v>
      </c>
      <c r="O37">
        <v>23210</v>
      </c>
      <c r="P37">
        <v>21756</v>
      </c>
      <c r="Q37">
        <v>18488</v>
      </c>
      <c r="R37">
        <v>19588</v>
      </c>
      <c r="S37">
        <v>23588</v>
      </c>
      <c r="T37">
        <v>24444</v>
      </c>
      <c r="U37">
        <v>25592</v>
      </c>
      <c r="X37">
        <f t="shared" si="1"/>
        <v>21571.272727272728</v>
      </c>
      <c r="Z37">
        <v>224</v>
      </c>
      <c r="AA37">
        <v>7244</v>
      </c>
      <c r="AB37">
        <f t="shared" si="5"/>
        <v>23104</v>
      </c>
    </row>
    <row r="38" spans="5:28" x14ac:dyDescent="0.4">
      <c r="F38">
        <f t="shared" si="3"/>
        <v>21198.222222222223</v>
      </c>
      <c r="G38">
        <v>256</v>
      </c>
      <c r="H38">
        <v>18202.75</v>
      </c>
      <c r="I38">
        <v>19253</v>
      </c>
      <c r="J38">
        <f t="shared" si="4"/>
        <v>26138.916666666668</v>
      </c>
      <c r="K38">
        <v>24220</v>
      </c>
      <c r="L38">
        <v>28890</v>
      </c>
      <c r="M38">
        <v>25762</v>
      </c>
      <c r="N38">
        <v>28376</v>
      </c>
      <c r="O38">
        <v>28413</v>
      </c>
      <c r="P38">
        <v>23818</v>
      </c>
      <c r="Q38">
        <v>27551</v>
      </c>
      <c r="R38">
        <v>28344</v>
      </c>
      <c r="S38">
        <v>22504</v>
      </c>
      <c r="T38">
        <v>22016</v>
      </c>
      <c r="U38">
        <v>25343</v>
      </c>
      <c r="V38">
        <v>28430</v>
      </c>
      <c r="X38">
        <f t="shared" si="1"/>
        <v>26138.916666666668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Kuchenbecker</dc:creator>
  <cp:lastModifiedBy>James Kuchenbecker</cp:lastModifiedBy>
  <dcterms:created xsi:type="dcterms:W3CDTF">2026-08-30T19:48:36Z</dcterms:created>
  <dcterms:modified xsi:type="dcterms:W3CDTF">2026-08-30T21:45:55Z</dcterms:modified>
</cp:coreProperties>
</file>